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a661bc36e4ea5f/TIEDOSTOT/VALTAKUNTA/2023/"/>
    </mc:Choice>
  </mc:AlternateContent>
  <xr:revisionPtr revIDLastSave="423" documentId="8_{8626CCFD-207C-47D2-B287-0D98D9C8650A}" xr6:coauthVersionLast="47" xr6:coauthVersionMax="47" xr10:uidLastSave="{8B0D7F1D-AE9F-407D-97A7-4088F2EBF5D1}"/>
  <bookViews>
    <workbookView xWindow="28680" yWindow="2160" windowWidth="25440" windowHeight="15390" xr2:uid="{6CC9111B-B047-40C9-9C56-81DA3D48E6B6}"/>
  </bookViews>
  <sheets>
    <sheet name="bookings-4abeedf6813c461218594a" sheetId="2" r:id="rId1"/>
    <sheet name="Taul1" sheetId="1" r:id="rId2"/>
  </sheets>
  <definedNames>
    <definedName name="ExternalData_1" localSheetId="0" hidden="1">'bookings-4abeedf6813c461218594a'!$A$1:$AI$5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 a="1"/>
  <c r="L21" i="2" s="1"/>
  <c r="L20" i="2"/>
  <c r="L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51C49-FE54-4556-B713-574E325035D8}" keepAlive="1" name="Kysely – bookings-4abeedf6813c461218594aab18b1dd7c" description="Yhteys kyselyyn bookings-4abeedf6813c461218594aab18b1dd7c työkirjassa." type="5" refreshedVersion="8" background="1" saveData="1">
    <dbPr connection="Provider=Microsoft.Mashup.OleDb.1;Data Source=$Workbook$;Location=bookings-4abeedf6813c461218594aab18b1dd7c;Extended Properties=&quot;&quot;" command="SELECT * FROM [bookings-4abeedf6813c461218594aab18b1dd7c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<sst xmlns="http://schemas.openxmlformats.org/spreadsheetml/2006/main" count="123" uniqueCount="95">
  <si>
    <t>Start Date &amp;amp; Time</t>
  </si>
  <si>
    <t>End Date &amp;amp; Time</t>
  </si>
  <si>
    <t>Order Time</t>
  </si>
  <si>
    <t>Osallistumismaksu</t>
  </si>
  <si>
    <t>Transaction ID</t>
  </si>
  <si>
    <t>Yhteensä</t>
  </si>
  <si>
    <t>Gateway</t>
  </si>
  <si>
    <t>Sähköposti</t>
  </si>
  <si>
    <t>Confirmation</t>
  </si>
  <si>
    <t>Verification</t>
  </si>
  <si>
    <t>Other Dates</t>
  </si>
  <si>
    <t>Sukunimi</t>
  </si>
  <si>
    <t>Puhelinnumero</t>
  </si>
  <si>
    <t>Postinumero</t>
  </si>
  <si>
    <t>Postitoimipaikka</t>
  </si>
  <si>
    <t>Syntymävuosi</t>
  </si>
  <si>
    <t>Sukupuoli</t>
  </si>
  <si>
    <t>Kotiseurakunta</t>
  </si>
  <si>
    <t>Ruoka-aineallergiat (yhteismajoitus)</t>
  </si>
  <si>
    <t>Toivon majoitushuonetta, jossa alkaa hiljaisuus aiemmin (jo klo 23)</t>
  </si>
  <si>
    <t>Minulle saa lähettää sähköpostitse tietoa tulevista, ikäryhmälleni suunnatuista, Suomen Vapaakirkon tapahtumista</t>
  </si>
  <si>
    <t>Olen tutustunut Suomen Vapaakirkon Nuoret ry:n asiakasrekisteri- ja tietosuojaselosteeseen ja hyväksyn henkilötietojeni käsittelyn siinä kuvatulla tavalla. (Tutustu)</t>
  </si>
  <si>
    <t>Alaikäinen majoittuva osallistuja täyttää:</t>
  </si>
  <si>
    <t>Huoltajan nimi</t>
  </si>
  <si>
    <t>Huoltajan puhelinnumero</t>
  </si>
  <si>
    <t>Attachments</t>
  </si>
  <si>
    <t>Osta lippu!</t>
  </si>
  <si>
    <t>CBM38206</t>
  </si>
  <si>
    <t>Pay Locally</t>
  </si>
  <si>
    <t>testi@testi.fi</t>
  </si>
  <si>
    <t>Confirmed</t>
  </si>
  <si>
    <t>Verified</t>
  </si>
  <si>
    <t/>
  </si>
  <si>
    <t>Testi</t>
  </si>
  <si>
    <t>ei ole</t>
  </si>
  <si>
    <t>Kyllä</t>
  </si>
  <si>
    <t>äiti</t>
  </si>
  <si>
    <t>Mörkö</t>
  </si>
  <si>
    <t>Pöllänen</t>
  </si>
  <si>
    <t>Saara-Susanna</t>
  </si>
  <si>
    <t>Ala-Kulju</t>
  </si>
  <si>
    <t>morko.pol@gmail.com</t>
  </si>
  <si>
    <t>sassu.sussu@hotmail.com</t>
  </si>
  <si>
    <t>Tampere</t>
  </si>
  <si>
    <t>Seinäjoki</t>
  </si>
  <si>
    <t>Mies</t>
  </si>
  <si>
    <t>Nainen</t>
  </si>
  <si>
    <t>Ei</t>
  </si>
  <si>
    <t>Muumi Pappa</t>
  </si>
  <si>
    <t>0123456789</t>
  </si>
  <si>
    <t>0449897766</t>
  </si>
  <si>
    <t>0509997788</t>
  </si>
  <si>
    <t>0447789669</t>
  </si>
  <si>
    <t>0509994455</t>
  </si>
  <si>
    <t>Äyriäiset</t>
  </si>
  <si>
    <t>Etunimi</t>
  </si>
  <si>
    <t>Paid</t>
  </si>
  <si>
    <t>Osoite</t>
  </si>
  <si>
    <t>Testikatu 1</t>
  </si>
  <si>
    <t>Muumilaakso 34</t>
  </si>
  <si>
    <t>Suorakuja 4 A 5</t>
  </si>
  <si>
    <t>Lipputyyppi</t>
  </si>
  <si>
    <t>Majoitus ja aamupala</t>
  </si>
  <si>
    <t>Kajaani SRK</t>
  </si>
  <si>
    <t>Helsinki Vapis</t>
  </si>
  <si>
    <t>Majoitusluokka</t>
  </si>
  <si>
    <t>A1</t>
  </si>
  <si>
    <t>B4</t>
  </si>
  <si>
    <t>C5</t>
  </si>
  <si>
    <t>Tunniste ID</t>
  </si>
  <si>
    <t>Muut tiedot</t>
  </si>
  <si>
    <t>On saapunut tapahtumaan</t>
  </si>
  <si>
    <t>On majoituksessa</t>
  </si>
  <si>
    <t>Makkonen</t>
  </si>
  <si>
    <t>Muu</t>
  </si>
  <si>
    <t>Katu 5</t>
  </si>
  <si>
    <t>Pohjoinen</t>
  </si>
  <si>
    <t>tauno.makkonen@posti.fi</t>
  </si>
  <si>
    <t>Isä</t>
  </si>
  <si>
    <t>Ei ole</t>
  </si>
  <si>
    <t>Osallistuja – X</t>
  </si>
  <si>
    <t>Osallistuja – Y</t>
  </si>
  <si>
    <t>Talkoolainen</t>
  </si>
  <si>
    <t>Heli Ala-Kulju</t>
  </si>
  <si>
    <t>Esiintyjä</t>
  </si>
  <si>
    <t>Tietojen lisääminen tai muuttaminen solussa</t>
  </si>
  <si>
    <t>Etu nollien lisäys</t>
  </si>
  <si>
    <t>Majoituksen valinnat</t>
  </si>
  <si>
    <t>Majoitus + aamupala (valitse 0 tai 1): (1)</t>
  </si>
  <si>
    <t>Lipputyypit</t>
  </si>
  <si>
    <t>Esimerkki  alkuperäisestä solusta</t>
  </si>
  <si>
    <t>Valtakunta 2022 – X – Copy</t>
  </si>
  <si>
    <t>Aapo</t>
  </si>
  <si>
    <t>Aliisa</t>
  </si>
  <si>
    <t>Korjatun solun kaava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</si>
</sst>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44" fontId="0" fillId="0" borderId="0" xfId="1" applyFont="1"/>
    <xf numFmtId="0" fontId="2" fillId="0" borderId="0" xfId="2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/>
    <xf numFmtId="44" fontId="0" fillId="0" borderId="2" xfId="1" applyFont="1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Hyperlinkki" xfId="2" builtinId="8"/>
    <cellStyle name="Normaali" xfId="0" builtinId="0"/>
    <cellStyle name="Valuutta" xfId="1" builtinId="4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27" formatCode="d/m/yyyy\ h:mm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9</xdr:row>
      <xdr:rowOff>95251</xdr:rowOff>
    </xdr:from>
    <xdr:to>
      <xdr:col>6</xdr:col>
      <xdr:colOff>1038225</xdr:colOff>
      <xdr:row>35</xdr:row>
      <xdr:rowOff>28575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5F95B9DD-0885-119D-55CF-1799D2ECBB88}"/>
            </a:ext>
          </a:extLst>
        </xdr:cNvPr>
        <xdr:cNvSpPr txBox="1"/>
      </xdr:nvSpPr>
      <xdr:spPr>
        <a:xfrm>
          <a:off x="609599" y="1809751"/>
          <a:ext cx="6115051" cy="4886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400" b="1"/>
            <a:t>Tämä</a:t>
          </a:r>
          <a:r>
            <a:rPr lang="fi-FI" sz="1400" b="1" baseline="0"/>
            <a:t> ohjeistus koskee kävijädatan lattaamista kävijätietojärjestelmään.</a:t>
          </a:r>
          <a:endParaRPr lang="fi-FI" sz="1400" b="1"/>
        </a:p>
        <a:p>
          <a:endParaRPr lang="fi-FI" sz="1200"/>
        </a:p>
        <a:p>
          <a:r>
            <a:rPr lang="fi-FI" sz="1200" b="1" u="none"/>
            <a:t>Taulukon kokonaisuuden muokkaus</a:t>
          </a:r>
        </a:p>
        <a:p>
          <a:r>
            <a:rPr lang="fi-FI" sz="1200" u="none"/>
            <a:t>- Muunna tiedosto xlsx -tiedostomuotoon (Eli Excel taulukoksi)</a:t>
          </a:r>
        </a:p>
        <a:p>
          <a:r>
            <a:rPr lang="fi-FI" sz="1200" u="none"/>
            <a:t>- Nimeä tiedosto nimellä "kavijadata"</a:t>
          </a:r>
        </a:p>
        <a:p>
          <a:r>
            <a:rPr lang="fi-FI" sz="1200" u="none"/>
            <a:t>-</a:t>
          </a:r>
          <a:r>
            <a:rPr lang="fi-FI" sz="1200" u="none" baseline="0"/>
            <a:t> Lisää ja järjestele sarakkeet ylläolevan esimerkin mukaisesti (sarakkeiden määrä ja sijainti ovat merkittäviä asioita, joten ne täytyy olla kuten esimerkissä)</a:t>
          </a:r>
        </a:p>
        <a:p>
          <a:r>
            <a:rPr lang="fi-FI" sz="1200" u="none" baseline="0"/>
            <a:t>- Poista ylimääräiset sarakkeet, joita EI ole esimerkissä</a:t>
          </a:r>
        </a:p>
        <a:p>
          <a:r>
            <a:rPr lang="fi-FI" sz="1200" u="none" baseline="0"/>
            <a:t>- Sarakkeet voi nimetä esimerkin mukaisesti (sarakkeiden nimet eivät vaikuta tai näy järjestelmässä, vaan ne on ennalta määritetty esimerkin mukaisesti) </a:t>
          </a:r>
          <a:endParaRPr lang="fi-FI" sz="1200" u="none"/>
        </a:p>
        <a:p>
          <a:endParaRPr lang="fi-FI" sz="1200" u="sng"/>
        </a:p>
        <a:p>
          <a:r>
            <a:rPr lang="fi-FI" sz="1200" b="1" u="none"/>
            <a:t>Yksittäisten sarakkeiden muokkaus</a:t>
          </a:r>
        </a:p>
        <a:p>
          <a:r>
            <a:rPr lang="fi-FI" sz="1200" b="0" u="none" baseline="0"/>
            <a:t>Nimet		Erota Etu- ja sukunimi omiksi sarakkeiksi</a:t>
          </a:r>
        </a:p>
        <a:p>
          <a:r>
            <a:rPr lang="fi-FI" sz="1200" b="0" u="none" baseline="0"/>
            <a:t>Puhelinnumerot	Muuta sarakkeiden tyyppi tekstiksi ja lisää numeroihin etu nollat</a:t>
          </a:r>
        </a:p>
        <a:p>
          <a:r>
            <a:rPr lang="fi-FI" sz="1200" b="0" u="none" baseline="0"/>
            <a:t>Lipputyyppi		Muuta lipputyypit lyhyemmiksi</a:t>
          </a:r>
        </a:p>
        <a:p>
          <a:r>
            <a:rPr lang="fi-FI" sz="1200" b="0" u="none" baseline="0"/>
            <a:t>Majoitus ja aamupala	Muuta majoituksen valinta "Kyllä/Ei" vaihtoehdoiksi</a:t>
          </a:r>
        </a:p>
        <a:p>
          <a:r>
            <a:rPr lang="fi-FI" sz="1200" b="0" u="none" baseline="0"/>
            <a:t>Lisää lopussa olevat sarakkeet: Majoitusluokka, Tunniste ID, Muut tiedot, On saapunut tapahtumaan ja on majoituksessa</a:t>
          </a:r>
          <a:endParaRPr lang="fi-FI" sz="1200" b="0" baseline="0"/>
        </a:p>
        <a:p>
          <a:endParaRPr lang="fi-FI" sz="1200" baseline="0"/>
        </a:p>
        <a:p>
          <a:r>
            <a:rPr lang="fi-FI" sz="1200" b="1" u="none" baseline="0"/>
            <a:t>Muut huomioitavat asiat</a:t>
          </a:r>
          <a:endParaRPr lang="fi-FI" sz="1200" b="0" u="none" baseline="0"/>
        </a:p>
        <a:p>
          <a:r>
            <a:rPr lang="fi-FI" sz="1200" b="0" u="none" baseline="0"/>
            <a:t>- Sarakkaat tai solut voivat olla tyhjiä. Tyhjiä rivejä ei kuitenkaan saa olla</a:t>
          </a:r>
        </a:p>
        <a:p>
          <a:r>
            <a:rPr lang="fi-FI" sz="1200" b="0" u="none" baseline="0"/>
            <a:t>- Järjestelmään pystyy syöttämään useita kävijädatatiedostoja yhtäaikaa</a:t>
          </a:r>
        </a:p>
        <a:p>
          <a:r>
            <a:rPr lang="fi-FI" sz="1200" b="0" u="none" baseline="0"/>
            <a:t>- Kävijätietojen poistamisessa häviävät kaikki kävijätiedostot kerralla</a:t>
          </a:r>
        </a:p>
        <a:p>
          <a:r>
            <a:rPr lang="fi-FI" sz="1200" b="0" u="none" baseline="0"/>
            <a:t>- Majoitusluokat on suositeltavaa nimetä kirjain-numero yhdistelmällä</a:t>
          </a:r>
          <a:endParaRPr lang="fi-FI" sz="1200" b="1" u="none" baseline="0"/>
        </a:p>
      </xdr:txBody>
    </xdr:sp>
    <xdr:clientData/>
  </xdr:twoCellAnchor>
  <xdr:twoCellAnchor>
    <xdr:from>
      <xdr:col>7</xdr:col>
      <xdr:colOff>1628774</xdr:colOff>
      <xdr:row>7</xdr:row>
      <xdr:rowOff>152401</xdr:rowOff>
    </xdr:from>
    <xdr:to>
      <xdr:col>10</xdr:col>
      <xdr:colOff>933449</xdr:colOff>
      <xdr:row>14</xdr:row>
      <xdr:rowOff>85725</xdr:rowOff>
    </xdr:to>
    <xdr:sp macro="" textlink="">
      <xdr:nvSpPr>
        <xdr:cNvPr id="3" name="Tekstiruutu 2">
          <a:extLst>
            <a:ext uri="{FF2B5EF4-FFF2-40B4-BE49-F238E27FC236}">
              <a16:creationId xmlns:a16="http://schemas.microsoft.com/office/drawing/2014/main" id="{5C2F4B8C-5D9A-7BF6-8761-A4EDA0BC965E}"/>
            </a:ext>
          </a:extLst>
        </xdr:cNvPr>
        <xdr:cNvSpPr txBox="1"/>
      </xdr:nvSpPr>
      <xdr:spPr>
        <a:xfrm>
          <a:off x="8534399" y="1485901"/>
          <a:ext cx="3190875" cy="126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200"/>
            <a:t>Punainen pohjaväri</a:t>
          </a:r>
          <a:r>
            <a:rPr lang="fi-FI" sz="1200" baseline="0"/>
            <a:t> kertoo soluista/ sarakkeista, jotka on lisätty tai niitä on muokattu verrattuna ilmoittautumisjärjestelmästä saatavaan alkuperäiseen tiedostoon.</a:t>
          </a:r>
          <a:endParaRPr lang="fi-FI" sz="1200"/>
        </a:p>
      </xdr:txBody>
    </xdr:sp>
    <xdr:clientData/>
  </xdr:twoCellAnchor>
  <xdr:twoCellAnchor>
    <xdr:from>
      <xdr:col>8</xdr:col>
      <xdr:colOff>600075</xdr:colOff>
      <xdr:row>5</xdr:row>
      <xdr:rowOff>28575</xdr:rowOff>
    </xdr:from>
    <xdr:to>
      <xdr:col>8</xdr:col>
      <xdr:colOff>714375</xdr:colOff>
      <xdr:row>7</xdr:row>
      <xdr:rowOff>152400</xdr:rowOff>
    </xdr:to>
    <xdr:cxnSp macro="">
      <xdr:nvCxnSpPr>
        <xdr:cNvPr id="5" name="Suora nuoliyhdysviiva 4">
          <a:extLst>
            <a:ext uri="{FF2B5EF4-FFF2-40B4-BE49-F238E27FC236}">
              <a16:creationId xmlns:a16="http://schemas.microsoft.com/office/drawing/2014/main" id="{F6CC450B-5B68-ABFC-D706-D8087BD69104}"/>
            </a:ext>
          </a:extLst>
        </xdr:cNvPr>
        <xdr:cNvCxnSpPr/>
      </xdr:nvCxnSpPr>
      <xdr:spPr>
        <a:xfrm flipH="1" flipV="1">
          <a:off x="9144000" y="981075"/>
          <a:ext cx="11430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E00BD-9599-4B4B-92DF-CB13A339FA69}" autoFormatId="16" applyNumberFormats="0" applyBorderFormats="0" applyFontFormats="0" applyPatternFormats="0" applyAlignmentFormats="0" applyWidthHeightFormats="0">
  <queryTableRefresh nextId="55">
    <queryTableFields count="35">
      <queryTableField id="10" name="Name" tableColumnId="10"/>
      <queryTableField id="16" name="Sukunimi" tableColumnId="16"/>
      <queryTableField id="20" name="Syntymävuosi" tableColumnId="20"/>
      <queryTableField id="21" name="Sukupuoli" tableColumnId="21"/>
      <queryTableField id="39" dataBound="0" tableColumnId="31"/>
      <queryTableField id="18" name="Postinumero" tableColumnId="18"/>
      <queryTableField id="19" name="Postitoimipaikka" tableColumnId="19"/>
      <queryTableField id="11" name="Sähköposti" tableColumnId="11"/>
      <queryTableField id="17" name="Puhelinnumero" tableColumnId="17"/>
      <queryTableField id="28" name="Huoltajan nimi" tableColumnId="28"/>
      <queryTableField id="29" name="Huoltajan puhelinnumero" tableColumnId="29"/>
      <queryTableField id="2" name="Event" tableColumnId="2"/>
      <queryTableField id="8" name="Yhteensä" tableColumnId="8"/>
      <queryTableField id="12" name="Ticket Variation" tableColumnId="12"/>
      <queryTableField id="24" name="Toivon majoitushuonetta, jossa alkaa hiljaisuus aiemmin (jo klo 23)" tableColumnId="24"/>
      <queryTableField id="22" name="Kotiseurakunta" tableColumnId="22"/>
      <queryTableField id="23" name="Ruoka-aineallergiat (yhteismajoitus)" tableColumnId="23"/>
      <queryTableField id="51" dataBound="0" tableColumnId="32"/>
      <queryTableField id="1" name="ID" tableColumnId="1"/>
      <queryTableField id="52" dataBound="0" tableColumnId="33"/>
      <queryTableField id="54" dataBound="0" tableColumnId="35"/>
      <queryTableField id="53" dataBound="0" tableColumnId="34"/>
      <queryTableField id="3" name="Start Date &amp;amp; Time" tableColumnId="3"/>
      <queryTableField id="4" name="End Date &amp;amp; Time" tableColumnId="4"/>
      <queryTableField id="5" name="Order Time" tableColumnId="5"/>
      <queryTableField id="6" name="Osallistumismaksu" tableColumnId="6"/>
      <queryTableField id="7" name="Transaction ID" tableColumnId="7"/>
      <queryTableField id="9" name="Gateway" tableColumnId="9"/>
      <queryTableField id="13" name="Confirmation" tableColumnId="13"/>
      <queryTableField id="14" name="Verification" tableColumnId="14"/>
      <queryTableField id="15" name="Other Dates" tableColumnId="15"/>
      <queryTableField id="25" name="Minulle saa lähettää sähköpostitse tietoa tulevista, ikäryhmälleni suunnatuista, Suomen Vapaakirkon tapahtumista" tableColumnId="25"/>
      <queryTableField id="26" name="Olen tutustunut Suomen Vapaakirkon Nuoret ry:n asiakasrekisteri- ja tietosuojaselosteeseen ja hyväksyn henkilötietojeni käsittelyn siinä kuvatulla tavalla. (Tutustu)" tableColumnId="26"/>
      <queryTableField id="27" name="Alaikäinen majoittuva osallistuja täyttää:" tableColumnId="27"/>
      <queryTableField id="30" name="Attachment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6F40A-F4AF-4FC9-B167-B024F0F7AAD1}" name="Testikävijädata" displayName="Testikävijädata" ref="A1:AI5" tableType="queryTable" totalsRowShown="0">
  <autoFilter ref="A1:AI5" xr:uid="{9466F40A-F4AF-4FC9-B167-B024F0F7AAD1}"/>
  <tableColumns count="35">
    <tableColumn id="10" xr3:uid="{0009798A-5E31-4705-9EB4-03324320B356}" uniqueName="10" name="Etunimi" queryTableFieldId="10" dataDxfId="31"/>
    <tableColumn id="16" xr3:uid="{AAB18A41-F9A6-4633-A721-F2E944935AB0}" uniqueName="16" name="Sukunimi" queryTableFieldId="16" dataDxfId="30"/>
    <tableColumn id="20" xr3:uid="{14A62649-4397-4EFC-B14A-A0DF982BCCD4}" uniqueName="20" name="Syntymävuosi" queryTableFieldId="20"/>
    <tableColumn id="21" xr3:uid="{CC7D2CC3-4069-4C38-96B2-09A3F92906AF}" uniqueName="21" name="Sukupuoli" queryTableFieldId="21" dataDxfId="29"/>
    <tableColumn id="31" xr3:uid="{FEBDF544-7D40-44C4-B318-2DB8EAC0E52D}" uniqueName="31" name="Osoite" queryTableFieldId="39" dataDxfId="28"/>
    <tableColumn id="18" xr3:uid="{9B69B140-A243-4A1D-825C-4F42AAF9D597}" uniqueName="18" name="Postinumero" queryTableFieldId="18"/>
    <tableColumn id="19" xr3:uid="{F3CD8955-18E8-41F0-9FA6-912FF9A30FA4}" uniqueName="19" name="Postitoimipaikka" queryTableFieldId="19" dataDxfId="27"/>
    <tableColumn id="11" xr3:uid="{EAB56535-0952-4214-B43A-6E976B6CE6CE}" uniqueName="11" name="Sähköposti" queryTableFieldId="11" dataDxfId="26"/>
    <tableColumn id="17" xr3:uid="{1CC9E087-B73D-40B4-B48F-8CEDC4C628E8}" uniqueName="17" name="Puhelinnumero" queryTableFieldId="17" dataDxfId="25"/>
    <tableColumn id="28" xr3:uid="{7208E306-BEC6-4FF4-8668-92CBEA0FF69C}" uniqueName="28" name="Huoltajan nimi" queryTableFieldId="28" dataDxfId="24"/>
    <tableColumn id="29" xr3:uid="{6F2C688D-B5C6-4CE8-8143-19DE1FCA613E}" uniqueName="29" name="Huoltajan puhelinnumero" queryTableFieldId="29" dataDxfId="23"/>
    <tableColumn id="2" xr3:uid="{C0986526-D72D-451B-8C28-D48CE17C4ACA}" uniqueName="2" name="Lipputyyppi" queryTableFieldId="2" dataDxfId="22"/>
    <tableColumn id="8" xr3:uid="{0F2628ED-2F8C-4213-A3D2-F6E8DE843F97}" uniqueName="8" name="Yhteensä" queryTableFieldId="8" dataDxfId="21" dataCellStyle="Valuutta"/>
    <tableColumn id="12" xr3:uid="{D9CBD969-7C11-41F5-94DF-47D53AD0AC84}" uniqueName="12" name="Majoitus ja aamupala" queryTableFieldId="12" dataDxfId="20" dataCellStyle="Valuutta"/>
    <tableColumn id="24" xr3:uid="{B101FEB9-FE47-4466-9D06-AEDDF7095547}" uniqueName="24" name="Toivon majoitushuonetta, jossa alkaa hiljaisuus aiemmin (jo klo 23)" queryTableFieldId="24" dataDxfId="19"/>
    <tableColumn id="22" xr3:uid="{0CFC987A-8F86-417D-B5F1-E2AECDAA038A}" uniqueName="22" name="Kotiseurakunta" queryTableFieldId="22" dataDxfId="18"/>
    <tableColumn id="23" xr3:uid="{C46955F4-5F91-41B6-BDED-1CEF0BCC9B24}" uniqueName="23" name="Ruoka-aineallergiat (yhteismajoitus)" queryTableFieldId="23" dataDxfId="17"/>
    <tableColumn id="32" xr3:uid="{A0A0CF5F-DFE3-47CC-9EAB-39E08429CFD5}" uniqueName="32" name="Majoitusluokka" queryTableFieldId="51" dataDxfId="16"/>
    <tableColumn id="1" xr3:uid="{C2083004-FD83-423C-875C-6C417BE6D796}" uniqueName="1" name="Tunniste ID" queryTableFieldId="1" dataDxfId="15"/>
    <tableColumn id="33" xr3:uid="{BD20363F-C557-47AB-8B57-E8AA450F3D19}" uniqueName="33" name="Muut tiedot" queryTableFieldId="52" dataDxfId="14"/>
    <tableColumn id="35" xr3:uid="{0AD5758F-EABE-469D-A824-80E94F607649}" uniqueName="35" name="On saapunut tapahtumaan" queryTableFieldId="54" dataDxfId="13"/>
    <tableColumn id="34" xr3:uid="{F38E8ABF-6359-4949-BC42-88BA5B55DDD3}" uniqueName="34" name="On majoituksessa" queryTableFieldId="53" dataDxfId="12"/>
    <tableColumn id="3" xr3:uid="{46C0630A-BE67-4607-B04B-012DB0380D9D}" uniqueName="3" name="Start Date &amp;amp; Time" queryTableFieldId="3" dataDxfId="11"/>
    <tableColumn id="4" xr3:uid="{ED153271-AAB6-4F07-9C30-6CB93635B879}" uniqueName="4" name="End Date &amp;amp; Time" queryTableFieldId="4" dataDxfId="10"/>
    <tableColumn id="5" xr3:uid="{35FE18C3-09C5-4DFC-8DF4-9C8CC946F100}" uniqueName="5" name="Order Time" queryTableFieldId="5" dataDxfId="9"/>
    <tableColumn id="6" xr3:uid="{0D120E01-3E2C-4984-81B9-24F540647980}" uniqueName="6" name="Osallistumismaksu" queryTableFieldId="6" dataDxfId="8"/>
    <tableColumn id="7" xr3:uid="{92C182BE-6ABA-4911-8339-11ED7CA13DAB}" uniqueName="7" name="Transaction ID" queryTableFieldId="7" dataDxfId="7"/>
    <tableColumn id="9" xr3:uid="{42CB03AE-5023-41B6-8676-C426BDB2F278}" uniqueName="9" name="Gateway" queryTableFieldId="9" dataDxfId="6"/>
    <tableColumn id="13" xr3:uid="{3E3C915E-3F0C-460F-A7A6-572E6008FC1A}" uniqueName="13" name="Confirmation" queryTableFieldId="13" dataDxfId="5"/>
    <tableColumn id="14" xr3:uid="{C4C353A3-2A5D-4274-8AA9-462832D21209}" uniqueName="14" name="Verification" queryTableFieldId="14" dataDxfId="4"/>
    <tableColumn id="15" xr3:uid="{DB0C0FA2-08A6-4B43-9C3F-35023EF1EAD5}" uniqueName="15" name="Other Dates" queryTableFieldId="15" dataDxfId="3"/>
    <tableColumn id="25" xr3:uid="{F488E1FB-A550-4713-A0C1-C7E40EBD1BAD}" uniqueName="25" name="Minulle saa lähettää sähköpostitse tietoa tulevista, ikäryhmälleni suunnatuista, Suomen Vapaakirkon tapahtumista" queryTableFieldId="25" dataDxfId="2"/>
    <tableColumn id="26" xr3:uid="{D144CA44-F45E-4DA3-8831-7C1DEB1330F9}" uniqueName="26" name="Olen tutustunut Suomen Vapaakirkon Nuoret ry:n asiakasrekisteri- ja tietosuojaselosteeseen ja hyväksyn henkilötietojeni käsittelyn siinä kuvatulla tavalla. (Tutustu)" queryTableFieldId="26"/>
    <tableColumn id="27" xr3:uid="{9A9BE103-8BA2-4564-BAB3-15C7DDBBEADF}" uniqueName="27" name="Alaikäinen majoittuva osallistuja täyttää:" queryTableFieldId="27" dataDxfId="1"/>
    <tableColumn id="30" xr3:uid="{A8361DF4-5124-45EA-A79D-343730F44246}" uniqueName="30" name="Attachment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uno.makkonen@posti.fi" TargetMode="External"/><Relationship Id="rId2" Type="http://schemas.openxmlformats.org/officeDocument/2006/relationships/hyperlink" Target="mailto:sassu.sussu@hotmail.com" TargetMode="External"/><Relationship Id="rId1" Type="http://schemas.openxmlformats.org/officeDocument/2006/relationships/hyperlink" Target="mailto:morko.pol@gmail.com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0B0C-2D1A-4A35-BA53-A3EAAD7FAD8D}">
  <dimension ref="A1:AI21"/>
  <sheetViews>
    <sheetView tabSelected="1" workbookViewId="0">
      <selection activeCell="L26" sqref="L26"/>
    </sheetView>
  </sheetViews>
  <sheetFormatPr defaultRowHeight="15" x14ac:dyDescent="0.25"/>
  <cols>
    <col min="1" max="1" width="13.85546875" bestFit="1" customWidth="1"/>
    <col min="2" max="2" width="11.5703125" bestFit="1" customWidth="1"/>
    <col min="3" max="3" width="15.7109375" bestFit="1" customWidth="1"/>
    <col min="4" max="4" width="12.140625" bestFit="1" customWidth="1"/>
    <col min="5" max="5" width="17.28515625" customWidth="1"/>
    <col min="6" max="6" width="14.7109375" bestFit="1" customWidth="1"/>
    <col min="7" max="7" width="18.28515625" bestFit="1" customWidth="1"/>
    <col min="8" max="8" width="24.5703125" bestFit="1" customWidth="1"/>
    <col min="9" max="9" width="17.28515625" style="2" bestFit="1" customWidth="1"/>
    <col min="10" max="10" width="19.42578125" customWidth="1"/>
    <col min="11" max="11" width="37.5703125" customWidth="1"/>
    <col min="12" max="12" width="20.7109375" customWidth="1"/>
    <col min="13" max="13" width="13" bestFit="1" customWidth="1"/>
    <col min="14" max="14" width="22.42578125" bestFit="1" customWidth="1"/>
    <col min="15" max="15" width="64" bestFit="1" customWidth="1"/>
    <col min="16" max="16" width="16.85546875" bestFit="1" customWidth="1"/>
    <col min="17" max="17" width="36.42578125" bestFit="1" customWidth="1"/>
    <col min="18" max="18" width="17.140625" bestFit="1" customWidth="1"/>
    <col min="19" max="19" width="13.28515625" bestFit="1" customWidth="1"/>
    <col min="20" max="20" width="14" bestFit="1" customWidth="1"/>
    <col min="21" max="21" width="27" bestFit="1" customWidth="1"/>
    <col min="22" max="22" width="19" bestFit="1" customWidth="1"/>
    <col min="23" max="23" width="23.7109375" hidden="1" customWidth="1"/>
    <col min="24" max="24" width="22.7109375" hidden="1" customWidth="1"/>
    <col min="25" max="25" width="14.28515625" hidden="1" customWidth="1"/>
    <col min="26" max="26" width="20.140625" hidden="1" customWidth="1"/>
    <col min="27" max="27" width="16.85546875" hidden="1" customWidth="1"/>
    <col min="28" max="28" width="11.140625" hidden="1" customWidth="1"/>
    <col min="29" max="29" width="15" hidden="1" customWidth="1"/>
    <col min="30" max="30" width="13.7109375" hidden="1" customWidth="1"/>
    <col min="31" max="31" width="13.85546875" hidden="1" customWidth="1"/>
    <col min="32" max="32" width="40.28515625" hidden="1" customWidth="1"/>
    <col min="33" max="33" width="24.7109375" hidden="1" customWidth="1"/>
    <col min="34" max="34" width="40.28515625" style="4" hidden="1" customWidth="1"/>
    <col min="35" max="35" width="14.5703125" hidden="1" customWidth="1"/>
  </cols>
  <sheetData>
    <row r="1" spans="1:35" x14ac:dyDescent="0.25">
      <c r="A1" s="5" t="s">
        <v>55</v>
      </c>
      <c r="B1" t="s">
        <v>11</v>
      </c>
      <c r="C1" t="s">
        <v>15</v>
      </c>
      <c r="D1" t="s">
        <v>16</v>
      </c>
      <c r="E1" s="5" t="s">
        <v>57</v>
      </c>
      <c r="F1" t="s">
        <v>13</v>
      </c>
      <c r="G1" t="s">
        <v>14</v>
      </c>
      <c r="H1" t="s">
        <v>7</v>
      </c>
      <c r="I1" t="s">
        <v>12</v>
      </c>
      <c r="J1" t="s">
        <v>23</v>
      </c>
      <c r="K1" s="4" t="s">
        <v>24</v>
      </c>
      <c r="L1" s="5" t="s">
        <v>61</v>
      </c>
      <c r="M1" s="2" t="s">
        <v>5</v>
      </c>
      <c r="N1" s="5" t="s">
        <v>62</v>
      </c>
      <c r="O1" t="s">
        <v>19</v>
      </c>
      <c r="P1" t="s">
        <v>17</v>
      </c>
      <c r="Q1" t="s">
        <v>18</v>
      </c>
      <c r="R1" s="5" t="s">
        <v>65</v>
      </c>
      <c r="S1" s="5" t="s">
        <v>69</v>
      </c>
      <c r="T1" s="5" t="s">
        <v>70</v>
      </c>
      <c r="U1" s="5" t="s">
        <v>71</v>
      </c>
      <c r="V1" s="5" t="s">
        <v>72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6</v>
      </c>
      <c r="AC1" t="s">
        <v>8</v>
      </c>
      <c r="AD1" t="s">
        <v>9</v>
      </c>
      <c r="AE1" t="s">
        <v>10</v>
      </c>
      <c r="AF1" t="s">
        <v>20</v>
      </c>
      <c r="AG1" t="s">
        <v>21</v>
      </c>
      <c r="AH1" t="s">
        <v>22</v>
      </c>
      <c r="AI1" t="s">
        <v>25</v>
      </c>
    </row>
    <row r="2" spans="1:35" x14ac:dyDescent="0.25">
      <c r="A2" t="s">
        <v>92</v>
      </c>
      <c r="B2" t="s">
        <v>33</v>
      </c>
      <c r="C2">
        <v>2000</v>
      </c>
      <c r="D2" t="s">
        <v>46</v>
      </c>
      <c r="E2" s="5" t="s">
        <v>58</v>
      </c>
      <c r="F2">
        <v>12345</v>
      </c>
      <c r="G2" t="s">
        <v>33</v>
      </c>
      <c r="H2" t="s">
        <v>29</v>
      </c>
      <c r="I2" s="5" t="s">
        <v>49</v>
      </c>
      <c r="J2" t="s">
        <v>36</v>
      </c>
      <c r="K2" s="6" t="s">
        <v>49</v>
      </c>
      <c r="L2" s="5" t="s">
        <v>80</v>
      </c>
      <c r="M2" s="2">
        <v>55</v>
      </c>
      <c r="N2" s="5" t="s">
        <v>35</v>
      </c>
      <c r="O2" t="s">
        <v>35</v>
      </c>
      <c r="P2" t="s">
        <v>33</v>
      </c>
      <c r="Q2" t="s">
        <v>34</v>
      </c>
      <c r="R2" s="5" t="s">
        <v>66</v>
      </c>
      <c r="S2" s="5"/>
      <c r="T2" s="5"/>
      <c r="U2" s="5"/>
      <c r="V2" s="5"/>
      <c r="W2" s="1">
        <v>44975.708333333336</v>
      </c>
      <c r="X2" s="1">
        <v>44976.666666666664</v>
      </c>
      <c r="Y2" s="1">
        <v>44978.535416666666</v>
      </c>
      <c r="Z2" t="s">
        <v>26</v>
      </c>
      <c r="AA2" t="s">
        <v>27</v>
      </c>
      <c r="AB2" t="s">
        <v>28</v>
      </c>
      <c r="AC2" t="s">
        <v>30</v>
      </c>
      <c r="AD2" t="s">
        <v>31</v>
      </c>
      <c r="AE2" t="s">
        <v>32</v>
      </c>
      <c r="AF2" t="s">
        <v>35</v>
      </c>
      <c r="AG2">
        <v>1</v>
      </c>
      <c r="AH2" t="s">
        <v>32</v>
      </c>
      <c r="AI2" t="s">
        <v>32</v>
      </c>
    </row>
    <row r="3" spans="1:35" x14ac:dyDescent="0.25">
      <c r="A3" t="s">
        <v>93</v>
      </c>
      <c r="B3" t="s">
        <v>73</v>
      </c>
      <c r="C3">
        <v>2005</v>
      </c>
      <c r="D3" t="s">
        <v>45</v>
      </c>
      <c r="E3" s="5" t="s">
        <v>75</v>
      </c>
      <c r="F3">
        <v>80500</v>
      </c>
      <c r="G3" t="s">
        <v>76</v>
      </c>
      <c r="H3" s="3" t="s">
        <v>77</v>
      </c>
      <c r="I3" s="5" t="s">
        <v>49</v>
      </c>
      <c r="J3" t="s">
        <v>78</v>
      </c>
      <c r="K3" s="6" t="s">
        <v>50</v>
      </c>
      <c r="L3" s="5" t="s">
        <v>81</v>
      </c>
      <c r="M3" s="2">
        <v>40</v>
      </c>
      <c r="N3" s="5" t="s">
        <v>35</v>
      </c>
      <c r="O3" t="s">
        <v>47</v>
      </c>
      <c r="Q3" t="s">
        <v>79</v>
      </c>
      <c r="R3" s="5" t="s">
        <v>66</v>
      </c>
      <c r="S3" s="5"/>
      <c r="T3" s="5"/>
      <c r="U3" s="5"/>
      <c r="V3" s="5"/>
      <c r="W3" s="1"/>
      <c r="X3" s="1"/>
      <c r="Y3" s="1"/>
      <c r="AH3"/>
    </row>
    <row r="4" spans="1:35" x14ac:dyDescent="0.25">
      <c r="A4" t="s">
        <v>37</v>
      </c>
      <c r="B4" t="s">
        <v>38</v>
      </c>
      <c r="C4">
        <v>1998</v>
      </c>
      <c r="D4" t="s">
        <v>74</v>
      </c>
      <c r="E4" s="5" t="s">
        <v>59</v>
      </c>
      <c r="F4">
        <v>33100</v>
      </c>
      <c r="G4" t="s">
        <v>43</v>
      </c>
      <c r="H4" s="3" t="s">
        <v>41</v>
      </c>
      <c r="I4" s="5" t="s">
        <v>52</v>
      </c>
      <c r="J4" t="s">
        <v>48</v>
      </c>
      <c r="K4" s="6" t="s">
        <v>50</v>
      </c>
      <c r="L4" s="5" t="s">
        <v>84</v>
      </c>
      <c r="M4" s="2">
        <v>55</v>
      </c>
      <c r="N4" s="5" t="s">
        <v>35</v>
      </c>
      <c r="O4" t="s">
        <v>35</v>
      </c>
      <c r="P4" t="s">
        <v>63</v>
      </c>
      <c r="Q4" t="s">
        <v>54</v>
      </c>
      <c r="R4" s="5" t="s">
        <v>67</v>
      </c>
      <c r="S4" s="5"/>
      <c r="T4" s="5"/>
      <c r="U4" s="5"/>
      <c r="V4" s="5"/>
      <c r="W4" s="1">
        <v>44975.708333333336</v>
      </c>
      <c r="X4" s="1">
        <v>44976.666666666664</v>
      </c>
      <c r="Y4" s="1">
        <v>44978.535416666666</v>
      </c>
      <c r="Z4" t="s">
        <v>26</v>
      </c>
      <c r="AA4" t="s">
        <v>27</v>
      </c>
      <c r="AB4" t="s">
        <v>56</v>
      </c>
      <c r="AC4" t="s">
        <v>30</v>
      </c>
      <c r="AD4" t="s">
        <v>31</v>
      </c>
      <c r="AF4" t="s">
        <v>47</v>
      </c>
      <c r="AG4">
        <v>1</v>
      </c>
      <c r="AH4"/>
    </row>
    <row r="5" spans="1:35" x14ac:dyDescent="0.25">
      <c r="A5" t="s">
        <v>39</v>
      </c>
      <c r="B5" t="s">
        <v>40</v>
      </c>
      <c r="D5" t="s">
        <v>46</v>
      </c>
      <c r="E5" s="5" t="s">
        <v>60</v>
      </c>
      <c r="F5">
        <v>60100</v>
      </c>
      <c r="G5" t="s">
        <v>44</v>
      </c>
      <c r="H5" s="3" t="s">
        <v>42</v>
      </c>
      <c r="I5" s="5" t="s">
        <v>53</v>
      </c>
      <c r="J5" t="s">
        <v>83</v>
      </c>
      <c r="K5" s="6" t="s">
        <v>51</v>
      </c>
      <c r="L5" s="5" t="s">
        <v>82</v>
      </c>
      <c r="M5" s="2">
        <v>45</v>
      </c>
      <c r="N5" s="5" t="s">
        <v>47</v>
      </c>
      <c r="O5" t="s">
        <v>47</v>
      </c>
      <c r="P5" t="s">
        <v>64</v>
      </c>
      <c r="Q5" t="s">
        <v>34</v>
      </c>
      <c r="R5" s="5" t="s">
        <v>68</v>
      </c>
      <c r="S5" s="5"/>
      <c r="T5" s="5"/>
      <c r="U5" s="5"/>
      <c r="V5" s="5"/>
      <c r="W5" s="1">
        <v>44975.708333333336</v>
      </c>
      <c r="X5" s="1">
        <v>44976.666666666664</v>
      </c>
      <c r="Y5" s="1">
        <v>44978.535416666666</v>
      </c>
      <c r="Z5" t="s">
        <v>26</v>
      </c>
      <c r="AA5" t="s">
        <v>27</v>
      </c>
      <c r="AB5" t="s">
        <v>56</v>
      </c>
      <c r="AC5" t="s">
        <v>30</v>
      </c>
      <c r="AD5" t="s">
        <v>31</v>
      </c>
      <c r="AF5" t="s">
        <v>47</v>
      </c>
      <c r="AG5">
        <v>1</v>
      </c>
      <c r="AH5"/>
    </row>
    <row r="16" spans="1:35" ht="15.75" thickBot="1" x14ac:dyDescent="0.3"/>
    <row r="17" spans="10:12" ht="15.75" thickBot="1" x14ac:dyDescent="0.3">
      <c r="J17" s="14" t="s">
        <v>85</v>
      </c>
      <c r="K17" s="15"/>
      <c r="L17" s="16"/>
    </row>
    <row r="18" spans="10:12" x14ac:dyDescent="0.25">
      <c r="J18" s="7"/>
      <c r="K18" t="s">
        <v>90</v>
      </c>
      <c r="L18" s="8" t="s">
        <v>94</v>
      </c>
    </row>
    <row r="19" spans="10:12" x14ac:dyDescent="0.25">
      <c r="J19" s="7" t="s">
        <v>86</v>
      </c>
      <c r="K19">
        <v>441234567</v>
      </c>
      <c r="L19" s="9" t="str">
        <f>"0"&amp;K19</f>
        <v>0441234567</v>
      </c>
    </row>
    <row r="20" spans="10:12" x14ac:dyDescent="0.25">
      <c r="J20" s="7" t="s">
        <v>87</v>
      </c>
      <c r="K20" t="s">
        <v>88</v>
      </c>
      <c r="L20" s="10" t="str">
        <f>IF(K20="Majoitus + aamupala (valitse 0 tai 1): (1)","Kyllä","Ei")</f>
        <v>Kyllä</v>
      </c>
    </row>
    <row r="21" spans="10:12" ht="15.75" thickBot="1" x14ac:dyDescent="0.3">
      <c r="J21" s="11" t="s">
        <v>89</v>
      </c>
      <c r="K21" s="12" t="s">
        <v>91</v>
      </c>
      <c r="L21" s="13" t="str" cm="1">
        <f t="array" ref="L21">_xlfn.IFS(K21="Valtakunta 2022 – Z – Copy","Osallistuja - Z",K21="Valtakunta 2022 – Y – Copy","Osallistuja - Y",K21="Valtakunta 2022 – X – Copy","Osallistuja - X")</f>
        <v>Osallistuja - X</v>
      </c>
    </row>
  </sheetData>
  <mergeCells count="1">
    <mergeCell ref="J17:L17"/>
  </mergeCells>
  <hyperlinks>
    <hyperlink ref="H4" r:id="rId1" xr:uid="{9A44C1E4-79AD-45E7-8B43-7337E9361594}"/>
    <hyperlink ref="H5" r:id="rId2" xr:uid="{1431287F-C80D-4D77-9ED6-0488D066A681}"/>
    <hyperlink ref="H3" r:id="rId3" xr:uid="{0A92FE59-558B-40BE-96B7-C74C41D96638}"/>
  </hyperlinks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22F4-A0D4-4319-B802-86D88EEC52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A9433FCBB27B9F49A36963598795DABD" ma:contentTypeVersion="3" ma:contentTypeDescription="Luo uusi asiakirja." ma:contentTypeScope="" ma:versionID="4bd8c0b70dbe76646ab09acef5e1a39d">
  <xsd:schema xmlns:xsd="http://www.w3.org/2001/XMLSchema" xmlns:xs="http://www.w3.org/2001/XMLSchema" xmlns:p="http://schemas.microsoft.com/office/2006/metadata/properties" xmlns:ns2="6c58ce44-c760-4269-b503-1aca7dc3a0cf" targetNamespace="http://schemas.microsoft.com/office/2006/metadata/properties" ma:root="true" ma:fieldsID="eb969cc577cf24c7e4f9987adf586a22" ns2:_="">
    <xsd:import namespace="6c58ce44-c760-4269-b503-1aca7dc3a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8ce44-c760-4269-b503-1aca7dc3a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078A7-9033-42F2-898A-A548141D24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E0EC29D-DFC0-415D-BD21-BC9E9CEFFEC3}"/>
</file>

<file path=customXml/itemProps3.xml><?xml version="1.0" encoding="utf-8"?>
<ds:datastoreItem xmlns:ds="http://schemas.openxmlformats.org/officeDocument/2006/customXml" ds:itemID="{9B9A77B1-415A-48F7-9AEC-D6B6CFAD4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bookings-4abeedf6813c461218594a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Juhani</dc:creator>
  <cp:lastModifiedBy>Virtanen Juhani</cp:lastModifiedBy>
  <dcterms:created xsi:type="dcterms:W3CDTF">2023-02-21T12:42:47Z</dcterms:created>
  <dcterms:modified xsi:type="dcterms:W3CDTF">2023-04-28T13:52:42Z</dcterms:modified>
</cp:coreProperties>
</file>